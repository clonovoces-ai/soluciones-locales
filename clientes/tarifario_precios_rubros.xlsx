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rio por Rubro" sheetId="1" state="visible" r:id="rId1"/>
    <sheet xmlns:r="http://schemas.openxmlformats.org/officeDocument/2006/relationships" name="Calculadora de Ingre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94A3B8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2563EB"/>
      <sz val="9"/>
      <u val="single"/>
    </font>
    <font>
      <name val="Arial"/>
      <sz val="9"/>
    </font>
    <font>
      <name val="Arial"/>
      <color rgb="0064748B"/>
      <sz val="8"/>
    </font>
    <font>
      <name val="Arial"/>
      <b val="1"/>
      <color rgb="001D4ED8"/>
      <sz val="10"/>
    </font>
    <font>
      <name val="Arial"/>
      <b val="1"/>
      <color rgb="00166534"/>
      <sz val="11"/>
    </font>
    <font>
      <name val="Arial"/>
      <b val="1"/>
      <color rgb="00166534"/>
      <sz val="12"/>
    </font>
    <font>
      <name val="Arial"/>
      <b val="1"/>
      <color rgb="000F172A"/>
      <sz val="13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4" fillId="6" borderId="3" applyAlignment="1" pivotButton="0" quotePrefix="0" xfId="0">
      <alignment horizontal="left" vertical="center"/>
    </xf>
    <xf numFmtId="0" fontId="0" fillId="6" borderId="3" pivotButton="0" quotePrefix="0" xfId="0"/>
    <xf numFmtId="164" fontId="4" fillId="6" borderId="3" applyAlignment="1" pivotButton="0" quotePrefix="0" xfId="0">
      <alignment horizontal="right" vertical="center"/>
    </xf>
    <xf numFmtId="0" fontId="7" fillId="6" borderId="3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164" fontId="9" fillId="6" borderId="3" applyAlignment="1" pivotButton="0" quotePrefix="0" xfId="0">
      <alignment horizontal="right" vertical="center"/>
    </xf>
    <xf numFmtId="0" fontId="4" fillId="8" borderId="2" pivotButton="0" quotePrefix="0" xfId="0"/>
    <xf numFmtId="0" fontId="0" fillId="8" borderId="2" pivotButton="0" quotePrefix="0" xfId="0"/>
    <xf numFmtId="164" fontId="10" fillId="8" borderId="2" pivotButton="0" quotePrefix="0" xfId="0"/>
    <xf numFmtId="164" fontId="11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2" customWidth="1" min="3" max="3"/>
    <col width="18" customWidth="1" min="4" max="4"/>
    <col width="16" customWidth="1" min="5" max="5"/>
    <col width="17" customWidth="1" min="6" max="6"/>
    <col width="17" customWidth="1" min="7" max="7"/>
    <col width="32" customWidth="1" min="8" max="8"/>
    <col width="46" customWidth="1" min="9" max="9"/>
  </cols>
  <sheetData>
    <row r="1" ht="36" customHeight="1">
      <c r="A1" s="1" t="inlineStr">
        <is>
          <t>GUÍA DE PRECIOS &amp; PROPUESTAS COMERCIALES - COMERCIOS LOCALES CABA</t>
        </is>
      </c>
    </row>
    <row r="2" ht="20" customHeight="1">
      <c r="A2" s="2" t="inlineStr">
        <is>
          <t>Estrategia comercial basada en anclaje de valor: El costo se amortiza con 1 o 2 ventas reales del local.</t>
        </is>
      </c>
    </row>
    <row r="4" ht="28" customHeight="1">
      <c r="A4" s="3" t="inlineStr">
        <is>
          <t>Rubro</t>
        </is>
      </c>
      <c r="B4" s="3" t="inlineStr">
        <is>
          <t>Solución Digital</t>
        </is>
      </c>
      <c r="C4" s="3" t="inlineStr">
        <is>
          <t>Referencia de Valor Local (Anclaje)</t>
        </is>
      </c>
      <c r="D4" s="3" t="inlineStr">
        <is>
          <t>Setup Pago Único (Sugerido)</t>
        </is>
      </c>
      <c r="E4" s="3" t="inlineStr">
        <is>
          <t>Abono Mensual (Optativo)</t>
        </is>
      </c>
      <c r="F4" s="3" t="inlineStr">
        <is>
          <t>Plan Entrada (Setup Inicial)</t>
        </is>
      </c>
      <c r="G4" s="3" t="inlineStr">
        <is>
          <t>Plan Entrada (Mensualidad)</t>
        </is>
      </c>
      <c r="H4" s="3" t="inlineStr">
        <is>
          <t>Demo en Vivo</t>
        </is>
      </c>
      <c r="I4" s="3" t="inlineStr">
        <is>
          <t>Argumento de Cierre (Pitch de Venta)</t>
        </is>
      </c>
    </row>
    <row r="5" ht="42" customHeight="1">
      <c r="A5" s="4" t="inlineStr">
        <is>
          <t>🐶 Pet Shops &amp; Veterinarias</t>
        </is>
      </c>
      <c r="B5" s="5" t="inlineStr">
        <is>
          <t>E-commerce WhatsApp + Turnos Peluquería por tamaño</t>
        </is>
      </c>
      <c r="C5" s="5" t="inlineStr">
        <is>
          <t>1 bolsa Royal Canin 7.5kg ($85.000) o 2 baños ($60.000)</t>
        </is>
      </c>
      <c r="D5" s="6" t="n">
        <v>65000</v>
      </c>
      <c r="E5" s="7" t="n">
        <v>15000</v>
      </c>
      <c r="F5" s="7" t="n">
        <v>30000</v>
      </c>
      <c r="G5" s="7" t="n">
        <v>15000</v>
      </c>
      <c r="H5" s="8" t="inlineStr">
        <is>
          <t>https://petshop.adrianschuster.com.ar/</t>
        </is>
      </c>
      <c r="I5" s="5" t="inlineStr">
        <is>
          <t>«Con 1 sola bolsa de alimento o 2 cortes de perro que te reserven por la web, el sistema ya se pagó solo.»</t>
        </is>
      </c>
    </row>
    <row r="6" ht="42" customHeight="1">
      <c r="A6" s="9" t="inlineStr">
        <is>
          <t>💅 Estudios de Uñas &amp; Belleza</t>
        </is>
      </c>
      <c r="B6" s="10" t="inlineStr">
        <is>
          <t>Sistema de Turnos con especialista, fecha y servicio</t>
        </is>
      </c>
      <c r="C6" s="10" t="inlineStr">
        <is>
          <t>2 servicios de kapping/esculpidas ($60.000 - $70.000)</t>
        </is>
      </c>
      <c r="D6" s="11" t="n">
        <v>50000</v>
      </c>
      <c r="E6" s="12" t="n">
        <v>12000</v>
      </c>
      <c r="F6" s="12" t="n">
        <v>25000</v>
      </c>
      <c r="G6" s="12" t="n">
        <v>12000</v>
      </c>
      <c r="H6" s="13" t="inlineStr">
        <is>
          <t>https://unas.adrianschuster.com.ar/</t>
        </is>
      </c>
      <c r="I6" s="10" t="inlineStr">
        <is>
          <t>«Evitás perder clientas a la noche por no responder a tiempo. Con 2 clientas que agenden solas recuperás la inversión.»</t>
        </is>
      </c>
    </row>
    <row r="7" ht="42" customHeight="1">
      <c r="A7" s="4" t="inlineStr">
        <is>
          <t>💈 Barberías &amp; Peluquerías</t>
        </is>
      </c>
      <c r="B7" s="5" t="inlineStr">
        <is>
          <t>Sistema de Turnos Online por barbero y franja horaria</t>
        </is>
      </c>
      <c r="C7" s="5" t="inlineStr">
        <is>
          <t>3 cortes de cabello estándar ($50.000 - $60.000)</t>
        </is>
      </c>
      <c r="D7" s="6" t="n">
        <v>45000</v>
      </c>
      <c r="E7" s="7" t="n">
        <v>12000</v>
      </c>
      <c r="F7" s="7" t="n">
        <v>20000</v>
      </c>
      <c r="G7" s="7" t="n">
        <v>12000</v>
      </c>
      <c r="H7" s="8" t="inlineStr">
        <is>
          <t>https://turnos.adrianschuster.com.ar/</t>
        </is>
      </c>
      <c r="I7" s="5" t="inlineStr">
        <is>
          <t>«Te ahorrás coordinar mensajes mientras estás cortando pelo. Los pibes entran, eligen horario y te llega el turno listo.»</t>
        </is>
      </c>
    </row>
    <row r="8" ht="42" customHeight="1">
      <c r="A8" s="9" t="inlineStr">
        <is>
          <t>🍕 Gastronomía &amp; Rotiserías</t>
        </is>
      </c>
      <c r="B8" s="10" t="inlineStr">
        <is>
          <t>Carta Digital interactiva + Delivery WhatsApp sin comisiones</t>
        </is>
      </c>
      <c r="C8" s="10" t="inlineStr">
        <is>
          <t>3 pizzas de muzzarella ($60.000) o 2 pedidos familiares</t>
        </is>
      </c>
      <c r="D8" s="11" t="n">
        <v>60000</v>
      </c>
      <c r="E8" s="12" t="n">
        <v>15000</v>
      </c>
      <c r="F8" s="12" t="n">
        <v>25000</v>
      </c>
      <c r="G8" s="12" t="n">
        <v>15000</v>
      </c>
      <c r="H8" s="13" t="inlineStr">
        <is>
          <t>https://landing.adrianschuster.com.ar/</t>
        </is>
      </c>
      <c r="I8" s="10" t="inlineStr">
        <is>
          <t>«En PedidosYa perdés el 30% de cada pedido. Con que 4 clientes habituales te pidan por tu web, ahorrás más de lo que cuesta el sistema.»</t>
        </is>
      </c>
    </row>
    <row r="9" ht="42" customHeight="1">
      <c r="A9" s="4" t="inlineStr">
        <is>
          <t>🛒 Comercios de Barrio / Retail</t>
        </is>
      </c>
      <c r="B9" s="5" t="inlineStr">
        <is>
          <t>Catálogo Web con carrito + Actualización con Excel</t>
        </is>
      </c>
      <c r="C9" s="5" t="inlineStr">
        <is>
          <t>2 a 3 compras semanales promedio de barrio ($70.000)</t>
        </is>
      </c>
      <c r="D9" s="6" t="n">
        <v>65000</v>
      </c>
      <c r="E9" s="7" t="n">
        <v>15000</v>
      </c>
      <c r="F9" s="7" t="n">
        <v>30000</v>
      </c>
      <c r="G9" s="7" t="n">
        <v>15000</v>
      </c>
      <c r="H9" s="8" t="inlineStr">
        <is>
          <t>https://sd.adrianschuster.com.ar/</t>
        </is>
      </c>
      <c r="I9" s="5" t="inlineStr">
        <is>
          <t>«Tus clientes ven los productos con fotos desde el celular y te mandan el pedido totalizado sin que tengas que dictar precios.»</t>
        </is>
      </c>
    </row>
    <row r="10" ht="42" customHeight="1">
      <c r="A10" s="9" t="inlineStr">
        <is>
          <t>💻 Software de Caja &amp; POS Local</t>
        </is>
      </c>
      <c r="B10" s="10" t="inlineStr">
        <is>
          <t>Control de stock, caja diaria y lector de código barras (Offline)</t>
        </is>
      </c>
      <c r="C10" s="10" t="inlineStr">
        <is>
          <t>Equivale a 2 días de cobro o control de mermas de stock</t>
        </is>
      </c>
      <c r="D10" s="11" t="n">
        <v>85000</v>
      </c>
      <c r="E10" s="12" t="n">
        <v>0</v>
      </c>
      <c r="F10" s="12" t="n">
        <v>85000</v>
      </c>
      <c r="G10" s="12" t="n">
        <v>0</v>
      </c>
      <c r="H10" s="13" t="inlineStr">
        <is>
          <t>https://sd.adrianschuster.com.ar/</t>
        </is>
      </c>
      <c r="I10" s="10" t="inlineStr">
        <is>
          <t>«100% offline, si se corta internet seguís cobrando en el mostrador. No pagás licencias en dólares ni abonos obligatorios.»</t>
        </is>
      </c>
    </row>
    <row r="11" ht="26" customHeight="1">
      <c r="A11" s="14" t="inlineStr">
        <is>
          <t>PROMEDIO MERCADO SUGERIDO</t>
        </is>
      </c>
      <c r="B11" s="15" t="inlineStr"/>
      <c r="C11" s="15" t="inlineStr"/>
      <c r="D11" s="16">
        <f>AVERAGE(D5:D10)</f>
        <v/>
      </c>
      <c r="E11" s="16">
        <f>AVERAGE(E5:E10)</f>
        <v/>
      </c>
      <c r="F11" s="16">
        <f>AVERAGE(F5:F10)</f>
        <v/>
      </c>
      <c r="G11" s="16">
        <f>AVERAGE(G5:G10)</f>
        <v/>
      </c>
      <c r="H11" s="15" t="inlineStr"/>
      <c r="I11" s="17" t="inlineStr">
        <is>
          <t>Promedio ideal de ticket inicial por cliente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8" customWidth="1" min="5" max="5"/>
    <col width="20" customWidth="1" min="6" max="6"/>
    <col width="24" customWidth="1" min="7" max="7"/>
  </cols>
  <sheetData>
    <row r="1" ht="36" customHeight="1">
      <c r="A1" s="1" t="inlineStr">
        <is>
          <t>SIMULADOR DE FACTURACIÓN &amp; INGRESOS MENSUALES</t>
        </is>
      </c>
    </row>
    <row r="2" ht="20" customHeight="1">
      <c r="A2" s="2" t="inlineStr">
        <is>
          <t>Editá las celdas en AZUL (Cantidad de Clientes) para calcular automáticamente tu facturación total y recurrente.</t>
        </is>
      </c>
    </row>
    <row r="4" ht="28" customHeight="1">
      <c r="A4" s="3" t="inlineStr">
        <is>
          <t>Rubro Comercial</t>
        </is>
      </c>
      <c r="B4" s="3" t="inlineStr">
        <is>
          <t>Precio Setup ($)</t>
        </is>
      </c>
      <c r="C4" s="3" t="inlineStr">
        <is>
          <t>Clientes Pago Único (Editar)</t>
        </is>
      </c>
      <c r="D4" s="3" t="inlineStr">
        <is>
          <t>Subtotal Setup ($)</t>
        </is>
      </c>
      <c r="E4" s="3" t="inlineStr">
        <is>
          <t>Abono Mensual ($)</t>
        </is>
      </c>
      <c r="F4" s="3" t="inlineStr">
        <is>
          <t>Clientes con Abono (Editar)</t>
        </is>
      </c>
      <c r="G4" s="3" t="inlineStr">
        <is>
          <t>Ingreso Mensual Recurrente ($)</t>
        </is>
      </c>
    </row>
    <row r="5" ht="25" customHeight="1">
      <c r="A5" s="4" t="inlineStr">
        <is>
          <t>Pet Shops &amp; Peluquerías Caninas</t>
        </is>
      </c>
      <c r="B5" s="7" t="n">
        <v>65000</v>
      </c>
      <c r="C5" s="18" t="n">
        <v>3</v>
      </c>
      <c r="D5" s="6">
        <f>B5*C5</f>
        <v/>
      </c>
      <c r="E5" s="7" t="n">
        <v>15000</v>
      </c>
      <c r="F5" s="18" t="n">
        <v>2</v>
      </c>
      <c r="G5" s="6">
        <f>E5*F5</f>
        <v/>
      </c>
    </row>
    <row r="6" ht="25" customHeight="1">
      <c r="A6" s="9" t="inlineStr">
        <is>
          <t>Estudios de Uñas &amp; Estética</t>
        </is>
      </c>
      <c r="B6" s="12" t="n">
        <v>50000</v>
      </c>
      <c r="C6" s="18" t="n">
        <v>4</v>
      </c>
      <c r="D6" s="11">
        <f>B6*C6</f>
        <v/>
      </c>
      <c r="E6" s="12" t="n">
        <v>12000</v>
      </c>
      <c r="F6" s="18" t="n">
        <v>3</v>
      </c>
      <c r="G6" s="11">
        <f>E6*F6</f>
        <v/>
      </c>
    </row>
    <row r="7" ht="25" customHeight="1">
      <c r="A7" s="4" t="inlineStr">
        <is>
          <t>Barberías &amp; Peluquerías</t>
        </is>
      </c>
      <c r="B7" s="7" t="n">
        <v>45000</v>
      </c>
      <c r="C7" s="18" t="n">
        <v>3</v>
      </c>
      <c r="D7" s="6">
        <f>B7*C7</f>
        <v/>
      </c>
      <c r="E7" s="7" t="n">
        <v>12000</v>
      </c>
      <c r="F7" s="18" t="n">
        <v>2</v>
      </c>
      <c r="G7" s="6">
        <f>E7*F7</f>
        <v/>
      </c>
    </row>
    <row r="8" ht="25" customHeight="1">
      <c r="A8" s="9" t="inlineStr">
        <is>
          <t>Gastronomía &amp; Rotiserías</t>
        </is>
      </c>
      <c r="B8" s="12" t="n">
        <v>60000</v>
      </c>
      <c r="C8" s="18" t="n">
        <v>2</v>
      </c>
      <c r="D8" s="11">
        <f>B8*C8</f>
        <v/>
      </c>
      <c r="E8" s="12" t="n">
        <v>15000</v>
      </c>
      <c r="F8" s="18" t="n">
        <v>2</v>
      </c>
      <c r="G8" s="11">
        <f>E8*F8</f>
        <v/>
      </c>
    </row>
    <row r="9" ht="25" customHeight="1">
      <c r="A9" s="4" t="inlineStr">
        <is>
          <t>Comercios de Barrio / Retail</t>
        </is>
      </c>
      <c r="B9" s="7" t="n">
        <v>65000</v>
      </c>
      <c r="C9" s="18" t="n">
        <v>2</v>
      </c>
      <c r="D9" s="6">
        <f>B9*C9</f>
        <v/>
      </c>
      <c r="E9" s="7" t="n">
        <v>15000</v>
      </c>
      <c r="F9" s="18" t="n">
        <v>1</v>
      </c>
      <c r="G9" s="6">
        <f>E9*F9</f>
        <v/>
      </c>
    </row>
    <row r="10" ht="25" customHeight="1">
      <c r="A10" s="9" t="inlineStr">
        <is>
          <t>Software de Caja &amp; POS Local</t>
        </is>
      </c>
      <c r="B10" s="12" t="n">
        <v>85000</v>
      </c>
      <c r="C10" s="18" t="n">
        <v>1</v>
      </c>
      <c r="D10" s="11">
        <f>B10*C10</f>
        <v/>
      </c>
      <c r="E10" s="12" t="n">
        <v>0</v>
      </c>
      <c r="F10" s="18" t="n">
        <v>0</v>
      </c>
      <c r="G10" s="11">
        <f>E10*F10</f>
        <v/>
      </c>
    </row>
    <row r="11" ht="30" customHeight="1">
      <c r="A11" s="14" t="inlineStr">
        <is>
          <t>TOTALES GENERALES</t>
        </is>
      </c>
      <c r="B11" s="15" t="inlineStr"/>
      <c r="C11" s="19">
        <f>SUM(C5:C10)</f>
        <v/>
      </c>
      <c r="D11" s="20">
        <f>SUM(D5:D10)</f>
        <v/>
      </c>
      <c r="E11" s="15" t="inlineStr"/>
      <c r="F11" s="19">
        <f>SUM(F5:F10)</f>
        <v/>
      </c>
      <c r="G11" s="20">
        <f>SUM(G5:G10)</f>
        <v/>
      </c>
    </row>
    <row r="13">
      <c r="B13" t="inlineStr">
        <is>
          <t>INGRESOS INICIALES (SETUPS)
=D11</t>
        </is>
      </c>
    </row>
    <row r="14">
      <c r="B14" s="21" t="inlineStr">
        <is>
          <t>Facturación Total por Setups Iniciales:</t>
        </is>
      </c>
      <c r="C14" s="22" t="n"/>
      <c r="D14" s="23">
        <f>D11</f>
        <v/>
      </c>
    </row>
    <row r="15">
      <c r="B15" s="21" t="inlineStr">
        <is>
          <t>Ingreso Mensual Recurrente Fijo (MRR):</t>
        </is>
      </c>
      <c r="C15" s="22" t="n"/>
      <c r="D15" s="23">
        <f>G11</f>
        <v/>
      </c>
    </row>
    <row r="16">
      <c r="B16" s="21" t="inlineStr">
        <is>
          <t>Proyección Facturación Trimestral (Setup + 3 Meses):</t>
        </is>
      </c>
      <c r="C16" s="22" t="n"/>
      <c r="D16" s="24">
        <f>D11+(G11*3)</f>
        <v/>
      </c>
    </row>
  </sheetData>
  <mergeCells count="5">
    <mergeCell ref="B16:C16"/>
    <mergeCell ref="A1:G1"/>
    <mergeCell ref="B15:C15"/>
    <mergeCell ref="B14:C1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2026-10-02T02:17:45Z</dcterms:created>
  <dcterms:modified xmlns:dcterms="http://purl.org/dc/terms/" xmlns:xsi="http://www.w3.org/2001/XMLSchema-instance" xsi:type="dcterms:W3CDTF">2026-10-02T02:17:45Z</dcterms:modified>
</cp:coreProperties>
</file>